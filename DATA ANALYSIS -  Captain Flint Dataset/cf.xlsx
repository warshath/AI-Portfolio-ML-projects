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H:\ESOFT\HND\MODULE 5 - (DATA ANALYTICS)\"/>
    </mc:Choice>
  </mc:AlternateContent>
  <xr:revisionPtr revIDLastSave="0" documentId="13_ncr:1_{82A8A345-E113-4600-A4D7-25FDED11AD64}" xr6:coauthVersionLast="47" xr6:coauthVersionMax="47" xr10:uidLastSave="{00000000-0000-0000-0000-000000000000}"/>
  <bookViews>
    <workbookView xWindow="1485" yWindow="690" windowWidth="20760" windowHeight="153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3" i="3"/>
</calcChain>
</file>

<file path=xl/sharedStrings.xml><?xml version="1.0" encoding="utf-8"?>
<sst xmlns="http://schemas.openxmlformats.org/spreadsheetml/2006/main" count="35" uniqueCount="34">
  <si>
    <t>Country</t>
  </si>
  <si>
    <t>United States</t>
  </si>
  <si>
    <t>Ireland</t>
  </si>
  <si>
    <t>France</t>
  </si>
  <si>
    <t>South Africa</t>
  </si>
  <si>
    <t>Russia</t>
  </si>
  <si>
    <t>Germany</t>
  </si>
  <si>
    <t>United Kingdom</t>
  </si>
  <si>
    <t>Czech Republic</t>
  </si>
  <si>
    <t>Canada</t>
  </si>
  <si>
    <t>Bulgaria</t>
  </si>
  <si>
    <t>Australia</t>
  </si>
  <si>
    <t>Sweden</t>
  </si>
  <si>
    <t>Poland</t>
  </si>
  <si>
    <t>Portugal</t>
  </si>
  <si>
    <t>Slovakia</t>
  </si>
  <si>
    <t>DF Nordic Countries - (All Countries)</t>
  </si>
  <si>
    <t>Denmark</t>
  </si>
  <si>
    <t>Netherlands</t>
  </si>
  <si>
    <t>Latvia</t>
  </si>
  <si>
    <t>Greece</t>
  </si>
  <si>
    <t>DF Russia</t>
  </si>
  <si>
    <t>Ukraine</t>
  </si>
  <si>
    <t>DF British Isles (Inc. Ireland)</t>
  </si>
  <si>
    <t>DF Germany</t>
  </si>
  <si>
    <t>Spain</t>
  </si>
  <si>
    <t>Premium</t>
  </si>
  <si>
    <t xml:space="preserve">Total </t>
  </si>
  <si>
    <t>Index</t>
  </si>
  <si>
    <t>YOY%</t>
  </si>
  <si>
    <t>Year</t>
  </si>
  <si>
    <t>Toatal Sales</t>
  </si>
  <si>
    <t>Satndard</t>
  </si>
  <si>
    <t>S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</si>
</sst>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&quot;€&quot;* #,##0_-;\-&quot;€&quot;* #,##0_-;_-&quot;€&quot;* &quot;-&quot;_-;_-@_-"/>
    <numFmt numFmtId="167" formatCode="_-&quot;€&quot;* #,##0.00_-;\-&quot;€&quot;* #,##0.00_-;_-&quot;€&quot;* &quot;-&quot;??_-;_-@_-"/>
    <numFmt numFmtId="168" formatCode="#,##0.0"/>
  </numFmts>
  <fonts count="6" x14ac:knownFonts="1">
    <font>
      <sz val="10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333333"/>
      <name val="Tahoma"/>
      <family val="2"/>
    </font>
    <font>
      <b/>
      <i/>
      <sz val="8"/>
      <color rgb="FF333333"/>
      <name val="Tahoma"/>
      <family val="2"/>
    </font>
    <font>
      <b/>
      <sz val="8"/>
      <color rgb="FF000000"/>
      <name val="Tahom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">
    <xf numFmtId="0" fontId="0" fillId="0" borderId="0" xfId="0"/>
    <xf numFmtId="168" fontId="3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9" fontId="4" fillId="0" borderId="0" xfId="1" applyFont="1" applyAlignment="1">
      <alignment horizontal="right"/>
    </xf>
    <xf numFmtId="10" fontId="4" fillId="0" borderId="0" xfId="1" applyNumberFormat="1" applyFont="1" applyAlignment="1">
      <alignment horizontal="right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1FF7-CDD5-4BD9-BCF4-9577C4679761}">
  <dimension ref="A1:H29"/>
  <sheetViews>
    <sheetView tabSelected="1" workbookViewId="0">
      <selection activeCell="H32" sqref="H32"/>
    </sheetView>
  </sheetViews>
  <sheetFormatPr defaultRowHeight="12.75" x14ac:dyDescent="0.2"/>
  <cols>
    <col min="8" max="8" width="12.7109375" customWidth="1"/>
  </cols>
  <sheetData>
    <row r="1" spans="1:8" s="6" customFormat="1" x14ac:dyDescent="0.2">
      <c r="A1" t="s">
        <v>28</v>
      </c>
      <c r="B1" s="6" t="s">
        <v>30</v>
      </c>
      <c r="C1" s="1" t="s">
        <v>31</v>
      </c>
      <c r="D1" s="3" t="s">
        <v>32</v>
      </c>
      <c r="E1" s="3" t="s">
        <v>26</v>
      </c>
      <c r="F1" s="3" t="s">
        <v>33</v>
      </c>
      <c r="G1" s="6" t="s">
        <v>29</v>
      </c>
      <c r="H1" s="6" t="s">
        <v>0</v>
      </c>
    </row>
    <row r="2" spans="1:8" s="7" customFormat="1" x14ac:dyDescent="0.2">
      <c r="A2">
        <v>1</v>
      </c>
      <c r="B2" s="7">
        <v>1994</v>
      </c>
      <c r="C2" s="2">
        <v>1535.1500000413537</v>
      </c>
      <c r="D2" s="4">
        <v>1404.8499999779588</v>
      </c>
      <c r="E2" s="4">
        <v>126.8000000632948</v>
      </c>
      <c r="F2" s="4">
        <v>3.5000000001</v>
      </c>
      <c r="H2" s="1" t="s">
        <v>27</v>
      </c>
    </row>
    <row r="3" spans="1:8" s="7" customFormat="1" x14ac:dyDescent="0.2">
      <c r="A3">
        <v>2</v>
      </c>
      <c r="B3" s="7">
        <v>1995</v>
      </c>
      <c r="C3" s="2">
        <v>1581.8500000265526</v>
      </c>
      <c r="D3" s="4">
        <v>1438.8000000020011</v>
      </c>
      <c r="E3" s="4">
        <v>140.30000002445158</v>
      </c>
      <c r="F3" s="4">
        <v>2.7500000001</v>
      </c>
      <c r="G3" s="9">
        <f>ABS(C2-C3)/C2</f>
        <v>3.0420480072918563E-2</v>
      </c>
      <c r="H3" s="3" t="s">
        <v>27</v>
      </c>
    </row>
    <row r="4" spans="1:8" s="7" customFormat="1" x14ac:dyDescent="0.2">
      <c r="A4">
        <v>3</v>
      </c>
      <c r="B4" s="7">
        <v>1996</v>
      </c>
      <c r="C4" s="2">
        <v>1606.7499998630396</v>
      </c>
      <c r="D4" s="4">
        <v>1461.800000008061</v>
      </c>
      <c r="E4" s="4">
        <v>136.89999984295758</v>
      </c>
      <c r="F4" s="4">
        <v>8.050000012020929</v>
      </c>
      <c r="G4" s="9">
        <f t="shared" ref="G4:G28" si="0">ABS(C3-C4)/C3</f>
        <v>1.5741062576141274E-2</v>
      </c>
      <c r="H4" s="5" t="s">
        <v>1</v>
      </c>
    </row>
    <row r="5" spans="1:8" s="7" customFormat="1" x14ac:dyDescent="0.2">
      <c r="A5">
        <v>4</v>
      </c>
      <c r="B5" s="7">
        <v>1997</v>
      </c>
      <c r="C5" s="2">
        <v>1700.9500000753812</v>
      </c>
      <c r="D5" s="4">
        <v>1546.8900000390538</v>
      </c>
      <c r="E5" s="4">
        <v>144.81000003612746</v>
      </c>
      <c r="F5" s="4">
        <v>9.2500000002</v>
      </c>
      <c r="G5" s="9">
        <f t="shared" si="0"/>
        <v>5.8627664677374361E-2</v>
      </c>
      <c r="H5" s="5" t="s">
        <v>2</v>
      </c>
    </row>
    <row r="6" spans="1:8" s="7" customFormat="1" x14ac:dyDescent="0.2">
      <c r="A6">
        <v>5</v>
      </c>
      <c r="B6" s="7">
        <v>1998</v>
      </c>
      <c r="C6" s="2">
        <v>1839.3500001715386</v>
      </c>
      <c r="D6" s="4">
        <v>1667.100000021617</v>
      </c>
      <c r="E6" s="4">
        <v>161.45000009319696</v>
      </c>
      <c r="F6" s="4">
        <v>10.800000056724416</v>
      </c>
      <c r="G6" s="9">
        <f t="shared" si="0"/>
        <v>8.1366295358490159E-2</v>
      </c>
      <c r="H6" s="5" t="s">
        <v>3</v>
      </c>
    </row>
    <row r="7" spans="1:8" s="7" customFormat="1" x14ac:dyDescent="0.2">
      <c r="A7">
        <v>6</v>
      </c>
      <c r="B7" s="7">
        <v>1999</v>
      </c>
      <c r="C7" s="2">
        <v>1933.5000005220163</v>
      </c>
      <c r="D7" s="4">
        <v>1752.6700003981719</v>
      </c>
      <c r="E7" s="4">
        <v>169.6050001464686</v>
      </c>
      <c r="F7" s="4">
        <v>11.224999977375726</v>
      </c>
      <c r="G7" s="9">
        <f t="shared" si="0"/>
        <v>5.1186560655501818E-2</v>
      </c>
      <c r="H7" s="5" t="s">
        <v>4</v>
      </c>
    </row>
    <row r="8" spans="1:8" s="7" customFormat="1" x14ac:dyDescent="0.2">
      <c r="A8">
        <v>7</v>
      </c>
      <c r="B8" s="7">
        <v>2000</v>
      </c>
      <c r="C8" s="2">
        <v>2124.0999997240033</v>
      </c>
      <c r="D8" s="4">
        <v>1917.0750006618946</v>
      </c>
      <c r="E8" s="4">
        <v>196.09999907765524</v>
      </c>
      <c r="F8" s="4">
        <v>10.92499998445378</v>
      </c>
      <c r="G8" s="9">
        <f t="shared" si="0"/>
        <v>9.8577708378861026E-2</v>
      </c>
      <c r="H8" s="5" t="s">
        <v>5</v>
      </c>
    </row>
    <row r="9" spans="1:8" s="7" customFormat="1" x14ac:dyDescent="0.2">
      <c r="A9">
        <v>8</v>
      </c>
      <c r="B9" s="7">
        <v>2001</v>
      </c>
      <c r="C9" s="2">
        <v>2262.4499985615125</v>
      </c>
      <c r="D9" s="4">
        <v>2046.5499987827582</v>
      </c>
      <c r="E9" s="4">
        <v>205.42999975935788</v>
      </c>
      <c r="F9" s="4">
        <v>10.470000019397004</v>
      </c>
      <c r="G9" s="9">
        <f t="shared" si="0"/>
        <v>6.5133467753630186E-2</v>
      </c>
      <c r="H9" s="5" t="s">
        <v>6</v>
      </c>
    </row>
    <row r="10" spans="1:8" s="7" customFormat="1" x14ac:dyDescent="0.2">
      <c r="A10">
        <v>9</v>
      </c>
      <c r="B10" s="7">
        <v>2002</v>
      </c>
      <c r="C10" s="2">
        <v>2421.4499979353918</v>
      </c>
      <c r="D10" s="4">
        <v>2201.7499993373813</v>
      </c>
      <c r="E10" s="4">
        <v>210.40999858818748</v>
      </c>
      <c r="F10" s="4">
        <v>9.2900000098230073</v>
      </c>
      <c r="G10" s="9">
        <f t="shared" si="0"/>
        <v>7.0277795962329789E-2</v>
      </c>
      <c r="H10" s="5" t="s">
        <v>7</v>
      </c>
    </row>
    <row r="11" spans="1:8" s="7" customFormat="1" x14ac:dyDescent="0.2">
      <c r="A11">
        <v>10</v>
      </c>
      <c r="B11" s="7">
        <v>2003</v>
      </c>
      <c r="C11" s="2">
        <v>2479.3500003356958</v>
      </c>
      <c r="D11" s="4">
        <v>2272.6950003307429</v>
      </c>
      <c r="E11" s="4">
        <v>197.69000001496002</v>
      </c>
      <c r="F11" s="4">
        <v>8.9649999899927035</v>
      </c>
      <c r="G11" s="9">
        <f t="shared" si="0"/>
        <v>2.3911293832072272E-2</v>
      </c>
      <c r="H11" s="5" t="s">
        <v>8</v>
      </c>
    </row>
    <row r="12" spans="1:8" s="7" customFormat="1" x14ac:dyDescent="0.2">
      <c r="A12">
        <v>11</v>
      </c>
      <c r="B12" s="7">
        <v>2004</v>
      </c>
      <c r="C12" s="2">
        <v>2548.6750000466996</v>
      </c>
      <c r="D12" s="4">
        <v>2344.6449999238416</v>
      </c>
      <c r="E12" s="4">
        <v>194.59500013144975</v>
      </c>
      <c r="F12" s="4">
        <v>9.4349999914083149</v>
      </c>
      <c r="G12" s="9">
        <f t="shared" si="0"/>
        <v>2.7960957388677439E-2</v>
      </c>
      <c r="H12" s="5" t="s">
        <v>9</v>
      </c>
    </row>
    <row r="13" spans="1:8" s="7" customFormat="1" x14ac:dyDescent="0.2">
      <c r="A13">
        <v>12</v>
      </c>
      <c r="B13" s="7">
        <v>2005</v>
      </c>
      <c r="C13" s="2">
        <v>2767.5200006609866</v>
      </c>
      <c r="D13" s="4">
        <v>2545.5750001557763</v>
      </c>
      <c r="E13" s="4">
        <v>211.45000049017167</v>
      </c>
      <c r="F13" s="4">
        <v>10.495000015038414</v>
      </c>
      <c r="G13" s="9">
        <f t="shared" si="0"/>
        <v>8.5866185610278742E-2</v>
      </c>
      <c r="H13" s="5" t="s">
        <v>10</v>
      </c>
    </row>
    <row r="14" spans="1:8" s="7" customFormat="1" x14ac:dyDescent="0.2">
      <c r="A14">
        <v>13</v>
      </c>
      <c r="B14" s="7">
        <v>2006</v>
      </c>
      <c r="C14" s="2">
        <v>2850.0599999078368</v>
      </c>
      <c r="D14" s="4">
        <v>2624.2849996594223</v>
      </c>
      <c r="E14" s="4">
        <v>213.32000027077765</v>
      </c>
      <c r="F14" s="4">
        <v>12.454999977636497</v>
      </c>
      <c r="G14" s="9">
        <f t="shared" si="0"/>
        <v>2.9824535767451189E-2</v>
      </c>
      <c r="H14" s="5" t="s">
        <v>11</v>
      </c>
    </row>
    <row r="15" spans="1:8" s="7" customFormat="1" x14ac:dyDescent="0.2">
      <c r="A15">
        <v>14</v>
      </c>
      <c r="B15" s="7">
        <v>2007</v>
      </c>
      <c r="C15" s="2">
        <v>2881.6500009869319</v>
      </c>
      <c r="D15" s="4">
        <v>2674.7100009374999</v>
      </c>
      <c r="E15" s="4">
        <v>192.55500007498821</v>
      </c>
      <c r="F15" s="4">
        <v>14.384999974444506</v>
      </c>
      <c r="G15" s="9">
        <f t="shared" si="0"/>
        <v>1.1083977558408132E-2</v>
      </c>
      <c r="H15" s="5" t="s">
        <v>12</v>
      </c>
    </row>
    <row r="16" spans="1:8" s="7" customFormat="1" x14ac:dyDescent="0.2">
      <c r="A16">
        <v>15</v>
      </c>
      <c r="B16" s="7">
        <v>2008</v>
      </c>
      <c r="C16" s="2">
        <v>3058.6050002406846</v>
      </c>
      <c r="D16" s="4">
        <v>2852.5100000460102</v>
      </c>
      <c r="E16" s="4">
        <v>191.79500020006179</v>
      </c>
      <c r="F16" s="4">
        <v>14.299999994612065</v>
      </c>
      <c r="G16" s="9">
        <f t="shared" si="0"/>
        <v>6.1407526657695298E-2</v>
      </c>
      <c r="H16" s="5" t="s">
        <v>13</v>
      </c>
    </row>
    <row r="17" spans="1:8" s="7" customFormat="1" x14ac:dyDescent="0.2">
      <c r="A17">
        <v>16</v>
      </c>
      <c r="B17" s="7">
        <v>2009</v>
      </c>
      <c r="C17" s="2">
        <v>3203.0750007633028</v>
      </c>
      <c r="D17" s="4">
        <v>2996.9150008032498</v>
      </c>
      <c r="E17" s="4">
        <v>189.31499995761803</v>
      </c>
      <c r="F17" s="4">
        <v>16.845000002435174</v>
      </c>
      <c r="G17" s="9">
        <f t="shared" si="0"/>
        <v>4.723395159271946E-2</v>
      </c>
      <c r="H17" s="5" t="s">
        <v>14</v>
      </c>
    </row>
    <row r="18" spans="1:8" s="7" customFormat="1" x14ac:dyDescent="0.2">
      <c r="A18">
        <v>17</v>
      </c>
      <c r="B18" s="7">
        <v>2010</v>
      </c>
      <c r="C18" s="2">
        <v>3493.6100000191036</v>
      </c>
      <c r="D18" s="4">
        <v>3268.0599996586793</v>
      </c>
      <c r="E18" s="4">
        <v>208.31000035679656</v>
      </c>
      <c r="F18" s="4">
        <v>17.240000003627266</v>
      </c>
      <c r="G18" s="9">
        <f t="shared" si="0"/>
        <v>9.0705025385470345E-2</v>
      </c>
      <c r="H18" s="5" t="s">
        <v>15</v>
      </c>
    </row>
    <row r="19" spans="1:8" s="7" customFormat="1" x14ac:dyDescent="0.2">
      <c r="A19">
        <v>18</v>
      </c>
      <c r="B19" s="7">
        <v>2011</v>
      </c>
      <c r="C19" s="2">
        <v>3860.4499985097123</v>
      </c>
      <c r="D19" s="4">
        <v>3618.3299985397452</v>
      </c>
      <c r="E19" s="4">
        <v>221.56499995729834</v>
      </c>
      <c r="F19" s="4">
        <v>20.555000012667964</v>
      </c>
      <c r="G19" s="9">
        <f t="shared" si="0"/>
        <v>0.10500313386113581</v>
      </c>
      <c r="H19" s="5" t="s">
        <v>16</v>
      </c>
    </row>
    <row r="20" spans="1:8" s="7" customFormat="1" x14ac:dyDescent="0.2">
      <c r="A20">
        <v>19</v>
      </c>
      <c r="B20" s="7">
        <v>2012</v>
      </c>
      <c r="C20" s="2">
        <v>4235.1199999069113</v>
      </c>
      <c r="D20" s="4">
        <v>3969.9849994024312</v>
      </c>
      <c r="E20" s="4">
        <v>241.86000050363376</v>
      </c>
      <c r="F20" s="4">
        <v>23.275000000847029</v>
      </c>
      <c r="G20" s="9">
        <f t="shared" si="0"/>
        <v>9.7053452717127953E-2</v>
      </c>
      <c r="H20" s="5" t="s">
        <v>17</v>
      </c>
    </row>
    <row r="21" spans="1:8" s="7" customFormat="1" x14ac:dyDescent="0.2">
      <c r="A21">
        <v>20</v>
      </c>
      <c r="B21" s="7">
        <v>2013</v>
      </c>
      <c r="C21" s="2">
        <v>4237.649999988982</v>
      </c>
      <c r="D21" s="4">
        <v>3996.0349998363531</v>
      </c>
      <c r="E21" s="4">
        <v>217.9150001520683</v>
      </c>
      <c r="F21" s="4">
        <v>23.70000000056077</v>
      </c>
      <c r="G21" s="9">
        <f t="shared" si="0"/>
        <v>5.973856896915172E-4</v>
      </c>
      <c r="H21" s="5" t="s">
        <v>18</v>
      </c>
    </row>
    <row r="22" spans="1:8" s="7" customFormat="1" x14ac:dyDescent="0.2">
      <c r="A22">
        <v>21</v>
      </c>
      <c r="B22" s="7">
        <v>2014</v>
      </c>
      <c r="C22" s="2">
        <v>4735.3699997676149</v>
      </c>
      <c r="D22" s="4">
        <v>4449.5999997971367</v>
      </c>
      <c r="E22" s="4">
        <v>249.39999994633422</v>
      </c>
      <c r="F22" s="4">
        <v>36.370000024141845</v>
      </c>
      <c r="G22" s="9">
        <f t="shared" si="0"/>
        <v>0.11745188955669462</v>
      </c>
      <c r="H22" s="5" t="s">
        <v>19</v>
      </c>
    </row>
    <row r="23" spans="1:8" s="7" customFormat="1" x14ac:dyDescent="0.2">
      <c r="A23">
        <v>22</v>
      </c>
      <c r="B23" s="7">
        <v>2015</v>
      </c>
      <c r="C23" s="2">
        <v>5446.9900009474277</v>
      </c>
      <c r="D23" s="4">
        <v>5125.5850008539401</v>
      </c>
      <c r="E23" s="4">
        <v>275.3200000879462</v>
      </c>
      <c r="F23" s="4">
        <v>46.085000005540891</v>
      </c>
      <c r="G23" s="9">
        <f t="shared" si="0"/>
        <v>0.15027759208144983</v>
      </c>
      <c r="H23" s="5" t="s">
        <v>20</v>
      </c>
    </row>
    <row r="24" spans="1:8" s="7" customFormat="1" x14ac:dyDescent="0.2">
      <c r="A24">
        <v>23</v>
      </c>
      <c r="B24" s="7">
        <v>2016</v>
      </c>
      <c r="C24" s="2">
        <v>6022.2900002241277</v>
      </c>
      <c r="D24" s="4">
        <v>5676.8250004966785</v>
      </c>
      <c r="E24" s="4">
        <v>288.79499982293504</v>
      </c>
      <c r="F24" s="4">
        <v>56.669999904511023</v>
      </c>
      <c r="G24" s="9">
        <f t="shared" si="0"/>
        <v>0.10561796500023583</v>
      </c>
      <c r="H24" s="5" t="s">
        <v>21</v>
      </c>
    </row>
    <row r="25" spans="1:8" s="7" customFormat="1" x14ac:dyDescent="0.2">
      <c r="A25">
        <v>24</v>
      </c>
      <c r="B25" s="7">
        <v>2017</v>
      </c>
      <c r="C25" s="2">
        <v>6622.7450015458189</v>
      </c>
      <c r="D25" s="4">
        <v>6247.5700010183427</v>
      </c>
      <c r="E25" s="4">
        <v>318.04000054079444</v>
      </c>
      <c r="F25" s="4">
        <v>57.134999986679183</v>
      </c>
      <c r="G25" s="9">
        <f t="shared" si="0"/>
        <v>9.9705427885296877E-2</v>
      </c>
      <c r="H25" s="5" t="s">
        <v>22</v>
      </c>
    </row>
    <row r="26" spans="1:8" s="7" customFormat="1" x14ac:dyDescent="0.2">
      <c r="A26">
        <v>25</v>
      </c>
      <c r="B26" s="7">
        <v>2018</v>
      </c>
      <c r="C26" s="2">
        <v>6931.1799992262668</v>
      </c>
      <c r="D26" s="4">
        <v>6500.014999365284</v>
      </c>
      <c r="E26" s="4">
        <v>368.45999976512638</v>
      </c>
      <c r="F26" s="4">
        <v>62.705000095853691</v>
      </c>
      <c r="G26" s="9">
        <f t="shared" si="0"/>
        <v>4.6572078135041564E-2</v>
      </c>
      <c r="H26" s="5" t="s">
        <v>23</v>
      </c>
    </row>
    <row r="27" spans="1:8" s="7" customFormat="1" x14ac:dyDescent="0.2">
      <c r="A27">
        <v>26</v>
      </c>
      <c r="B27" s="7">
        <v>2019</v>
      </c>
      <c r="C27" s="2">
        <v>7425.100000008104</v>
      </c>
      <c r="D27" s="4">
        <v>6888.2050000016006</v>
      </c>
      <c r="E27" s="4">
        <v>482.58500000569967</v>
      </c>
      <c r="F27" s="4">
        <v>54.310000000800002</v>
      </c>
      <c r="G27" s="9">
        <f t="shared" si="0"/>
        <v>7.1260593555061896E-2</v>
      </c>
      <c r="H27" s="5" t="s">
        <v>24</v>
      </c>
    </row>
    <row r="28" spans="1:8" s="7" customFormat="1" x14ac:dyDescent="0.2">
      <c r="A28">
        <v>27</v>
      </c>
      <c r="B28" s="7">
        <v>2020</v>
      </c>
      <c r="C28" s="2">
        <v>8250.8148950085979</v>
      </c>
      <c r="D28" s="4">
        <v>7536.5950000019966</v>
      </c>
      <c r="E28" s="4">
        <v>651.7150000055999</v>
      </c>
      <c r="F28" s="4">
        <v>62.504895001000001</v>
      </c>
      <c r="G28" s="9">
        <f t="shared" si="0"/>
        <v>0.11120589554343951</v>
      </c>
      <c r="H28" s="5" t="s">
        <v>25</v>
      </c>
    </row>
    <row r="29" spans="1:8" x14ac:dyDescent="0.2">
      <c r="G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Bond</dc:creator>
  <cp:keywords/>
  <dc:description/>
  <cp:lastModifiedBy>WW</cp:lastModifiedBy>
  <cp:revision/>
  <dcterms:created xsi:type="dcterms:W3CDTF">2018-03-05T10:50:39Z</dcterms:created>
  <dcterms:modified xsi:type="dcterms:W3CDTF">2023-12-27T15:30:30Z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260c2c-5513-4d63-89d9-58e0a3e6f0c6_Enabled">
    <vt:lpwstr>true</vt:lpwstr>
  </property>
  <property fmtid="{D5CDD505-2E9C-101B-9397-08002B2CF9AE}" pid="3" name="MSIP_Label_c2260c2c-5513-4d63-89d9-58e0a3e6f0c6_SetDate">
    <vt:lpwstr>2023-06-14T06:41:07Z</vt:lpwstr>
  </property>
  <property fmtid="{D5CDD505-2E9C-101B-9397-08002B2CF9AE}" pid="4" name="MSIP_Label_c2260c2c-5513-4d63-89d9-58e0a3e6f0c6_Method">
    <vt:lpwstr>Standard</vt:lpwstr>
  </property>
  <property fmtid="{D5CDD505-2E9C-101B-9397-08002B2CF9AE}" pid="5" name="MSIP_Label_c2260c2c-5513-4d63-89d9-58e0a3e6f0c6_Name">
    <vt:lpwstr>Confidential</vt:lpwstr>
  </property>
  <property fmtid="{D5CDD505-2E9C-101B-9397-08002B2CF9AE}" pid="6" name="MSIP_Label_c2260c2c-5513-4d63-89d9-58e0a3e6f0c6_SiteId">
    <vt:lpwstr>fe8ccb52-ca53-49de-a5b4-50faf33a9cc2</vt:lpwstr>
  </property>
  <property fmtid="{D5CDD505-2E9C-101B-9397-08002B2CF9AE}" pid="7" name="MSIP_Label_c2260c2c-5513-4d63-89d9-58e0a3e6f0c6_ActionId">
    <vt:lpwstr>1de24560-efb8-4168-afc2-5b1c5c59c6da</vt:lpwstr>
  </property>
  <property fmtid="{D5CDD505-2E9C-101B-9397-08002B2CF9AE}" pid="8" name="MSIP_Label_c2260c2c-5513-4d63-89d9-58e0a3e6f0c6_ContentBits">
    <vt:lpwstr>0</vt:lpwstr>
  </property>
</Properties>
</file>